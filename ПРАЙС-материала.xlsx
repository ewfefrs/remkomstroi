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ronl\AppData\Local\Temp\"/>
    </mc:Choice>
  </mc:AlternateContent>
  <xr:revisionPtr revIDLastSave="0" documentId="13_ncr:1_{9893DC37-601F-4EFE-9233-B1FC06F0BBDD}" xr6:coauthVersionLast="47" xr6:coauthVersionMax="47" xr10:uidLastSave="{00000000-0000-0000-0000-000000000000}"/>
  <bookViews>
    <workbookView xWindow="1275" yWindow="4185" windowWidth="21600" windowHeight="11295" xr2:uid="{00000000-000D-0000-FFFF-FFFF00000000}"/>
  </bookViews>
  <sheets>
    <sheet name="Материал" sheetId="1" r:id="rId1"/>
    <sheet name="Расчёт" sheetId="2" r:id="rId2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7" i="2" l="1"/>
  <c r="A26" i="2"/>
  <c r="A25" i="2"/>
  <c r="A24" i="2"/>
  <c r="A23" i="2"/>
  <c r="A22" i="2"/>
  <c r="D11" i="2"/>
  <c r="D10" i="2"/>
  <c r="D9" i="2"/>
  <c r="D8" i="2"/>
  <c r="D7" i="2"/>
  <c r="D6" i="2"/>
  <c r="D15" i="1"/>
  <c r="D14" i="1"/>
  <c r="D13" i="1"/>
  <c r="C25" i="2" s="1"/>
  <c r="D12" i="1"/>
  <c r="D11" i="1"/>
  <c r="E23" i="2" s="1"/>
  <c r="D10" i="1"/>
  <c r="D26" i="2" l="1"/>
  <c r="E22" i="2"/>
  <c r="D27" i="2"/>
  <c r="E26" i="2"/>
  <c r="B25" i="2"/>
  <c r="E25" i="2"/>
  <c r="E24" i="2"/>
  <c r="B23" i="2"/>
  <c r="E27" i="2"/>
  <c r="C23" i="2"/>
  <c r="B26" i="2"/>
  <c r="D25" i="2"/>
  <c r="D23" i="2"/>
  <c r="C26" i="2"/>
  <c r="B24" i="2"/>
  <c r="C24" i="2"/>
  <c r="B22" i="2"/>
  <c r="D24" i="2"/>
  <c r="C22" i="2"/>
  <c r="B27" i="2"/>
  <c r="D22" i="2"/>
  <c r="C2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РемКомСтрой</author>
  </authors>
  <commentList>
    <comment ref="C9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Впишите свою розничную цену за квадратный метр. Пустая ячейка означает «оставить как есть», тогда в расчёт идёт цена из калькулятора.</t>
        </r>
      </text>
    </comment>
  </commentList>
</comments>
</file>

<file path=xl/sharedStrings.xml><?xml version="1.0" encoding="utf-8"?>
<sst xmlns="http://schemas.openxmlformats.org/spreadsheetml/2006/main" count="73" uniqueCount="66">
  <si>
    <t>Прайс на материал: натяжные потолки</t>
  </si>
  <si>
    <t>РемКомСтрой, Мурманск. Цены собраны из калькулятора на сайте. Заполните столбец «Ваша цена», итоги на листе «Расчёт» пересчитаются сами.</t>
  </si>
  <si>
    <t>ВАЖНО</t>
  </si>
  <si>
    <t>На вашем сайте цена «от 190 ₽/м²» стоит со звёздочкой, а внизу страницы написано «цена для дилеров». Значит, это не розничная цена, и расчёт сейчас занижен.</t>
  </si>
  <si>
    <t>Как заполнять</t>
  </si>
  <si>
    <t>Жёлтые ячейки — для вас. Впишите цену цифрами, без пробелов и знака рубля.</t>
  </si>
  <si>
    <t>Пример</t>
  </si>
  <si>
    <t>Матовое</t>
  </si>
  <si>
    <t>так выглядит заполненная строка</t>
  </si>
  <si>
    <t>Фактура полотна</t>
  </si>
  <si>
    <t>Цена в калькуляторе</t>
  </si>
  <si>
    <t>Ваша цена</t>
  </si>
  <si>
    <t>В расчёте</t>
  </si>
  <si>
    <t>Откуда взята текущая цена</t>
  </si>
  <si>
    <t>с сайта компании, помечена как «цена для дилеров»</t>
  </si>
  <si>
    <t>Глянцевое</t>
  </si>
  <si>
    <t>Сатиновое</t>
  </si>
  <si>
    <t>оценка, требует подтверждения</t>
  </si>
  <si>
    <t>Тканевое бесшовное</t>
  </si>
  <si>
    <t>С фотопечатью</t>
  </si>
  <si>
    <t>Звёздное небо</t>
  </si>
  <si>
    <t>Цена включает полотно, профиль и монтаж.</t>
  </si>
  <si>
    <t>Столбец «В расчёте» подставляет вашу цену, а пока она пустая — текущую.</t>
  </si>
  <si>
    <t>Дополнительные работы и итоговая стоимость</t>
  </si>
  <si>
    <t>Жёлтые ячейки — для заполнения. Всё остальное считается формулами.</t>
  </si>
  <si>
    <t xml:space="preserve">  1. Дополнительные работы</t>
  </si>
  <si>
    <t>Позиция</t>
  </si>
  <si>
    <t>Сейчас</t>
  </si>
  <si>
    <t>Угол свыше 4-го, за штуку</t>
  </si>
  <si>
    <t>Врезка и подключение светильника</t>
  </si>
  <si>
    <t>Обвод трубы</t>
  </si>
  <si>
    <t>Минимальная сумма заказа</t>
  </si>
  <si>
    <t>Углов включено в базовую цену</t>
  </si>
  <si>
    <t>Акция: каждый N-й м² в подарок</t>
  </si>
  <si>
    <t xml:space="preserve">  2. Из чего состоят типовые комнаты</t>
  </si>
  <si>
    <t>Комната</t>
  </si>
  <si>
    <t>Площадь, м²</t>
  </si>
  <si>
    <t>Углов</t>
  </si>
  <si>
    <t>Светильников</t>
  </si>
  <si>
    <t>Труб</t>
  </si>
  <si>
    <t>Маленькая комната</t>
  </si>
  <si>
    <t>Стандартная комната</t>
  </si>
  <si>
    <t>Большая комната</t>
  </si>
  <si>
    <t>Типовое решение с сайта</t>
  </si>
  <si>
    <t xml:space="preserve">  3. Сколько получается всего</t>
  </si>
  <si>
    <t>Фактура</t>
  </si>
  <si>
    <t>Маленькая комната
12 м²</t>
  </si>
  <si>
    <t>Стандартная комната
18 м²</t>
  </si>
  <si>
    <t>Большая комната
25 м²</t>
  </si>
  <si>
    <t>Типовое решение с сайта
33 м²</t>
  </si>
  <si>
    <t>Как считается итог</t>
  </si>
  <si>
    <t>площадь × цена за м² по фактуре</t>
  </si>
  <si>
    <t>'+ углы свыше 4-го × цена за угол</t>
  </si>
  <si>
    <t>'+ светильники × врезка</t>
  </si>
  <si>
    <t>'+ трубы × обвод</t>
  </si>
  <si>
    <t>− каждый 10-й м² в подарок (действующая акция)</t>
  </si>
  <si>
    <t>Итого: не меньше минимальной суммы заказа</t>
  </si>
  <si>
    <t>Если формула у вас другая, например есть цена за погонный метр профиля или углы считаются иначе, напишите как правильно.</t>
  </si>
  <si>
    <t>Источник текущих цен: assets/js/prices.js в проекте сайта. После согласования цены проставляются там, и калькулятор считает по ним.</t>
  </si>
  <si>
    <t>Обозначения</t>
  </si>
  <si>
    <t>жёлтая ячейка, синий шрифт</t>
  </si>
  <si>
    <t>заполняете вы</t>
  </si>
  <si>
    <t>чёрный шрифт</t>
  </si>
  <si>
    <t>считается формулой</t>
  </si>
  <si>
    <t>зелёный шрифт</t>
  </si>
  <si>
    <t>ссылка на лист «Материал»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</si>
</sst>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₽/м²&quot;"/>
    <numFmt numFmtId="165" formatCode="#,##0&quot; ₽&quot;"/>
  </numFmts>
  <fonts count="11" x14ac:knownFonts="1">
    <font>
      <sz val="11"/>
      <color theme="1"/>
      <name val="Calibri"/>
      <family val="2"/>
      <scheme val="minor"/>
    </font>
    <font>
      <b/>
      <sz val="16"/>
      <color rgb="FF1A1A1A"/>
      <name val="Arial"/>
    </font>
    <font>
      <sz val="10"/>
      <color rgb="FF595959"/>
      <name val="Arial"/>
    </font>
    <font>
      <b/>
      <sz val="10"/>
      <color rgb="FFC00000"/>
      <name val="Arial"/>
    </font>
    <font>
      <sz val="10"/>
      <color rgb="FFC00000"/>
      <name val="Arial"/>
    </font>
    <font>
      <b/>
      <sz val="10"/>
      <color rgb="FF1A1A1A"/>
      <name val="Arial"/>
    </font>
    <font>
      <sz val="10"/>
      <color rgb="FF1A1A1A"/>
      <name val="Arial"/>
    </font>
    <font>
      <b/>
      <sz val="10"/>
      <color rgb="FF0000FF"/>
      <name val="Arial"/>
    </font>
    <font>
      <i/>
      <sz val="9"/>
      <color rgb="FF7F7F7F"/>
      <name val="Arial"/>
    </font>
    <font>
      <b/>
      <sz val="12"/>
      <color rgb="FFFFFFFF"/>
      <name val="Arial"/>
    </font>
    <font>
      <sz val="10"/>
      <color rgb="FF008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DF1F5"/>
      </patternFill>
    </fill>
    <fill>
      <patternFill patternType="solid">
        <fgColor rgb="FF00803A"/>
      </patternFill>
    </fill>
  </fills>
  <borders count="2">
    <border>
      <left/>
      <right/>
      <top/>
      <bottom/>
      <diagonal/>
    </border>
    <border>
      <left style="thin">
        <color rgb="FFC9D2DB"/>
      </left>
      <right style="thin">
        <color rgb="FFC9D2DB"/>
      </right>
      <top style="thin">
        <color rgb="FFC9D2DB"/>
      </top>
      <bottom style="thin">
        <color rgb="FFC9D2D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164" fontId="7" fillId="2" borderId="0" xfId="0" applyNumberFormat="1" applyFont="1" applyFill="1"/>
    <xf numFmtId="0" fontId="8" fillId="0" borderId="0" xfId="0" applyFont="1"/>
    <xf numFmtId="0" fontId="5" fillId="3" borderId="1" xfId="0" applyFont="1" applyFill="1" applyBorder="1" applyAlignment="1">
      <alignment vertical="center" wrapText="1"/>
    </xf>
    <xf numFmtId="0" fontId="6" fillId="0" borderId="1" xfId="0" applyFont="1" applyBorder="1"/>
    <xf numFmtId="164" fontId="6" fillId="0" borderId="1" xfId="0" applyNumberFormat="1" applyFont="1" applyBorder="1"/>
    <xf numFmtId="164" fontId="7" fillId="2" borderId="1" xfId="0" applyNumberFormat="1" applyFont="1" applyFill="1" applyBorder="1"/>
    <xf numFmtId="0" fontId="8" fillId="0" borderId="1" xfId="0" applyFont="1" applyBorder="1" applyAlignment="1">
      <alignment vertical="top" wrapText="1"/>
    </xf>
    <xf numFmtId="0" fontId="5" fillId="3" borderId="1" xfId="0" applyFont="1" applyFill="1" applyBorder="1"/>
    <xf numFmtId="165" fontId="6" fillId="0" borderId="1" xfId="0" applyNumberFormat="1" applyFont="1" applyBorder="1"/>
    <xf numFmtId="165" fontId="7" fillId="2" borderId="1" xfId="0" applyNumberFormat="1" applyFont="1" applyFill="1" applyBorder="1"/>
    <xf numFmtId="0" fontId="0" fillId="0" borderId="1" xfId="0" applyBorder="1"/>
    <xf numFmtId="0" fontId="7" fillId="2" borderId="1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10" fillId="0" borderId="1" xfId="0" applyFont="1" applyBorder="1"/>
    <xf numFmtId="165" fontId="5" fillId="0" borderId="1" xfId="0" applyNumberFormat="1" applyFont="1" applyBorder="1"/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/>
    <xf numFmtId="0" fontId="6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/>
    <xf numFmtId="0" fontId="2" fillId="0" borderId="0" xfId="0" applyFont="1"/>
    <xf numFmtId="0" fontId="9" fillId="4" borderId="0" xfId="0" applyFont="1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showGridLines="0" tabSelected="1" workbookViewId="0">
      <selection activeCell="C10" sqref="C10"/>
    </sheetView>
  </sheetViews>
  <sheetFormatPr defaultRowHeight="15" x14ac:dyDescent="0.25"/>
  <cols>
    <col min="1" max="1" width="26" customWidth="1"/>
    <col min="2" max="2" width="20" customWidth="1"/>
    <col min="3" max="3" width="16" customWidth="1"/>
    <col min="4" max="4" width="15" customWidth="1"/>
    <col min="5" max="5" width="44" customWidth="1"/>
  </cols>
  <sheetData>
    <row r="1" spans="1:5" ht="20.25" x14ac:dyDescent="0.3">
      <c r="A1" s="22" t="s">
        <v>0</v>
      </c>
      <c r="B1" s="21"/>
      <c r="C1" s="21"/>
      <c r="D1" s="21"/>
      <c r="E1" s="21"/>
    </row>
    <row r="2" spans="1:5" ht="27.95" customHeight="1" x14ac:dyDescent="0.25">
      <c r="A2" s="20" t="s">
        <v>1</v>
      </c>
      <c r="B2" s="21"/>
      <c r="C2" s="21"/>
      <c r="D2" s="21"/>
      <c r="E2" s="21"/>
    </row>
    <row r="4" spans="1:5" ht="27.95" customHeight="1" x14ac:dyDescent="0.25">
      <c r="A4" s="1" t="s">
        <v>2</v>
      </c>
      <c r="B4" s="24" t="s">
        <v>3</v>
      </c>
      <c r="C4" s="21"/>
      <c r="D4" s="21"/>
      <c r="E4" s="21"/>
    </row>
    <row r="6" spans="1:5" x14ac:dyDescent="0.25">
      <c r="A6" s="2" t="s">
        <v>4</v>
      </c>
      <c r="B6" s="23" t="s">
        <v>5</v>
      </c>
      <c r="C6" s="21"/>
      <c r="D6" s="21"/>
      <c r="E6" s="21"/>
    </row>
    <row r="7" spans="1:5" x14ac:dyDescent="0.25">
      <c r="A7" s="2" t="s">
        <v>6</v>
      </c>
      <c r="B7" s="3" t="s">
        <v>7</v>
      </c>
      <c r="C7" s="4">
        <v>190</v>
      </c>
      <c r="D7" s="5">
        <v>350</v>
      </c>
      <c r="E7" s="6" t="s">
        <v>8</v>
      </c>
    </row>
    <row r="9" spans="1:5" ht="30" customHeight="1" x14ac:dyDescent="0.25">
      <c r="A9" s="7" t="s">
        <v>9</v>
      </c>
      <c r="B9" s="7" t="s">
        <v>10</v>
      </c>
      <c r="C9" s="7" t="s">
        <v>11</v>
      </c>
      <c r="D9" s="7" t="s">
        <v>12</v>
      </c>
      <c r="E9" s="7" t="s">
        <v>13</v>
      </c>
    </row>
    <row r="10" spans="1:5" ht="20.100000000000001" customHeight="1" x14ac:dyDescent="0.25">
      <c r="A10" s="8" t="s">
        <v>7</v>
      </c>
      <c r="B10" s="9">
        <v>190</v>
      </c>
      <c r="C10" s="10"/>
      <c r="D10" s="9">
        <f t="shared" ref="D10:D15" si="0">IF(C10="",B10,C10)</f>
        <v>190</v>
      </c>
      <c r="E10" s="11" t="s">
        <v>14</v>
      </c>
    </row>
    <row r="11" spans="1:5" ht="20.100000000000001" customHeight="1" x14ac:dyDescent="0.25">
      <c r="A11" s="8" t="s">
        <v>15</v>
      </c>
      <c r="B11" s="9">
        <v>190</v>
      </c>
      <c r="C11" s="10"/>
      <c r="D11" s="9">
        <f t="shared" si="0"/>
        <v>190</v>
      </c>
      <c r="E11" s="11" t="s">
        <v>14</v>
      </c>
    </row>
    <row r="12" spans="1:5" ht="20.100000000000001" customHeight="1" x14ac:dyDescent="0.25">
      <c r="A12" s="8" t="s">
        <v>16</v>
      </c>
      <c r="B12" s="9">
        <v>260</v>
      </c>
      <c r="C12" s="10"/>
      <c r="D12" s="9">
        <f t="shared" si="0"/>
        <v>260</v>
      </c>
      <c r="E12" s="11" t="s">
        <v>17</v>
      </c>
    </row>
    <row r="13" spans="1:5" ht="20.100000000000001" customHeight="1" x14ac:dyDescent="0.25">
      <c r="A13" s="8" t="s">
        <v>18</v>
      </c>
      <c r="B13" s="9">
        <v>690</v>
      </c>
      <c r="C13" s="10"/>
      <c r="D13" s="9">
        <f t="shared" si="0"/>
        <v>690</v>
      </c>
      <c r="E13" s="11" t="s">
        <v>17</v>
      </c>
    </row>
    <row r="14" spans="1:5" ht="20.100000000000001" customHeight="1" x14ac:dyDescent="0.25">
      <c r="A14" s="8" t="s">
        <v>19</v>
      </c>
      <c r="B14" s="9">
        <v>1200</v>
      </c>
      <c r="C14" s="10"/>
      <c r="D14" s="9">
        <f t="shared" si="0"/>
        <v>1200</v>
      </c>
      <c r="E14" s="11" t="s">
        <v>17</v>
      </c>
    </row>
    <row r="15" spans="1:5" ht="20.100000000000001" customHeight="1" x14ac:dyDescent="0.25">
      <c r="A15" s="8" t="s">
        <v>20</v>
      </c>
      <c r="B15" s="9">
        <v>1500</v>
      </c>
      <c r="C15" s="10"/>
      <c r="D15" s="9">
        <f t="shared" si="0"/>
        <v>1500</v>
      </c>
      <c r="E15" s="11" t="s">
        <v>17</v>
      </c>
    </row>
    <row r="17" spans="1:1" x14ac:dyDescent="0.25">
      <c r="A17" s="6" t="s">
        <v>21</v>
      </c>
    </row>
    <row r="18" spans="1:1" x14ac:dyDescent="0.25">
      <c r="A18" s="6" t="s">
        <v>22</v>
      </c>
    </row>
  </sheetData>
  <mergeCells count="4">
    <mergeCell ref="A2:E2"/>
    <mergeCell ref="A1:E1"/>
    <mergeCell ref="B6:E6"/>
    <mergeCell ref="B4:E4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4"/>
  <sheetViews>
    <sheetView showGridLines="0" workbookViewId="0"/>
  </sheetViews>
  <sheetFormatPr defaultRowHeight="15" x14ac:dyDescent="0.25"/>
  <cols>
    <col min="1" max="1" width="34" customWidth="1"/>
    <col min="2" max="6" width="14" customWidth="1"/>
  </cols>
  <sheetData>
    <row r="1" spans="1:6" ht="20.25" x14ac:dyDescent="0.3">
      <c r="A1" s="22" t="s">
        <v>23</v>
      </c>
      <c r="B1" s="21"/>
      <c r="C1" s="21"/>
      <c r="D1" s="21"/>
      <c r="E1" s="21"/>
      <c r="F1" s="21"/>
    </row>
    <row r="2" spans="1:6" x14ac:dyDescent="0.25">
      <c r="A2" s="26" t="s">
        <v>24</v>
      </c>
      <c r="B2" s="21"/>
      <c r="C2" s="21"/>
      <c r="D2" s="21"/>
      <c r="E2" s="21"/>
      <c r="F2" s="21"/>
    </row>
    <row r="4" spans="1:6" ht="21.95" customHeight="1" x14ac:dyDescent="0.25">
      <c r="A4" s="27" t="s">
        <v>25</v>
      </c>
      <c r="B4" s="28"/>
      <c r="C4" s="28"/>
      <c r="D4" s="28"/>
    </row>
    <row r="5" spans="1:6" x14ac:dyDescent="0.25">
      <c r="A5" s="12" t="s">
        <v>26</v>
      </c>
      <c r="B5" s="12" t="s">
        <v>27</v>
      </c>
      <c r="C5" s="12" t="s">
        <v>11</v>
      </c>
      <c r="D5" s="12" t="s">
        <v>12</v>
      </c>
    </row>
    <row r="6" spans="1:6" x14ac:dyDescent="0.25">
      <c r="A6" s="8" t="s">
        <v>28</v>
      </c>
      <c r="B6" s="13">
        <v>250</v>
      </c>
      <c r="C6" s="14"/>
      <c r="D6" s="13">
        <f>IF(C6="",B6,C6)</f>
        <v>250</v>
      </c>
    </row>
    <row r="7" spans="1:6" x14ac:dyDescent="0.25">
      <c r="A7" s="8" t="s">
        <v>29</v>
      </c>
      <c r="B7" s="13">
        <v>550</v>
      </c>
      <c r="C7" s="14"/>
      <c r="D7" s="13">
        <f>IF(C7="",B7,C7)</f>
        <v>550</v>
      </c>
    </row>
    <row r="8" spans="1:6" x14ac:dyDescent="0.25">
      <c r="A8" s="8" t="s">
        <v>30</v>
      </c>
      <c r="B8" s="13">
        <v>400</v>
      </c>
      <c r="C8" s="14"/>
      <c r="D8" s="13">
        <f>IF(C8="",B8,C8)</f>
        <v>400</v>
      </c>
    </row>
    <row r="9" spans="1:6" x14ac:dyDescent="0.25">
      <c r="A9" s="8" t="s">
        <v>31</v>
      </c>
      <c r="B9" s="13">
        <v>4500</v>
      </c>
      <c r="C9" s="14"/>
      <c r="D9" s="13">
        <f>IF(C9="",B9,C9)</f>
        <v>4500</v>
      </c>
    </row>
    <row r="10" spans="1:6" x14ac:dyDescent="0.25">
      <c r="A10" s="8" t="s">
        <v>32</v>
      </c>
      <c r="B10" s="8">
        <v>4</v>
      </c>
      <c r="C10" s="15"/>
      <c r="D10" s="8">
        <f>B10</f>
        <v>4</v>
      </c>
    </row>
    <row r="11" spans="1:6" x14ac:dyDescent="0.25">
      <c r="A11" s="8" t="s">
        <v>33</v>
      </c>
      <c r="B11" s="8">
        <v>10</v>
      </c>
      <c r="C11" s="15"/>
      <c r="D11" s="8">
        <f>B11</f>
        <v>10</v>
      </c>
    </row>
    <row r="13" spans="1:6" ht="21.95" customHeight="1" x14ac:dyDescent="0.25">
      <c r="A13" s="27" t="s">
        <v>34</v>
      </c>
      <c r="B13" s="28"/>
      <c r="C13" s="28"/>
      <c r="D13" s="28"/>
      <c r="E13" s="28"/>
    </row>
    <row r="14" spans="1:6" x14ac:dyDescent="0.25">
      <c r="A14" s="12" t="s">
        <v>35</v>
      </c>
      <c r="B14" s="12" t="s">
        <v>36</v>
      </c>
      <c r="C14" s="12" t="s">
        <v>37</v>
      </c>
      <c r="D14" s="12" t="s">
        <v>38</v>
      </c>
      <c r="E14" s="12" t="s">
        <v>39</v>
      </c>
    </row>
    <row r="15" spans="1:6" x14ac:dyDescent="0.25">
      <c r="A15" s="8" t="s">
        <v>40</v>
      </c>
      <c r="B15" s="16">
        <v>12</v>
      </c>
      <c r="C15" s="16">
        <v>4</v>
      </c>
      <c r="D15" s="16">
        <v>3</v>
      </c>
      <c r="E15" s="16">
        <v>0</v>
      </c>
    </row>
    <row r="16" spans="1:6" x14ac:dyDescent="0.25">
      <c r="A16" s="8" t="s">
        <v>41</v>
      </c>
      <c r="B16" s="16">
        <v>18</v>
      </c>
      <c r="C16" s="16">
        <v>4</v>
      </c>
      <c r="D16" s="16">
        <v>4</v>
      </c>
      <c r="E16" s="16">
        <v>0</v>
      </c>
    </row>
    <row r="17" spans="1:5" x14ac:dyDescent="0.25">
      <c r="A17" s="8" t="s">
        <v>42</v>
      </c>
      <c r="B17" s="16">
        <v>25</v>
      </c>
      <c r="C17" s="16">
        <v>4</v>
      </c>
      <c r="D17" s="16">
        <v>6</v>
      </c>
      <c r="E17" s="16">
        <v>1</v>
      </c>
    </row>
    <row r="18" spans="1:5" x14ac:dyDescent="0.25">
      <c r="A18" s="8" t="s">
        <v>43</v>
      </c>
      <c r="B18" s="16">
        <v>33</v>
      </c>
      <c r="C18" s="16">
        <v>4</v>
      </c>
      <c r="D18" s="16">
        <v>6</v>
      </c>
      <c r="E18" s="16">
        <v>0</v>
      </c>
    </row>
    <row r="20" spans="1:5" ht="21.95" customHeight="1" x14ac:dyDescent="0.25">
      <c r="A20" s="27" t="s">
        <v>44</v>
      </c>
      <c r="B20" s="28"/>
      <c r="C20" s="28"/>
      <c r="D20" s="28"/>
      <c r="E20" s="28"/>
    </row>
    <row r="21" spans="1:5" ht="33.950000000000003" customHeight="1" x14ac:dyDescent="0.25">
      <c r="A21" s="12" t="s">
        <v>45</v>
      </c>
      <c r="B21" s="17" t="s">
        <v>46</v>
      </c>
      <c r="C21" s="17" t="s">
        <v>47</v>
      </c>
      <c r="D21" s="17" t="s">
        <v>48</v>
      </c>
      <c r="E21" s="17" t="s">
        <v>49</v>
      </c>
    </row>
    <row r="22" spans="1:5" x14ac:dyDescent="0.25">
      <c r="A22" s="18" t="str">
        <f>Материал!A10</f>
        <v>Матовое</v>
      </c>
      <c r="B22" s="19">
        <f>MAX($B$15*Материал!$D$10+MAX(0,$C$15-$D$10)*$D$6+$D$15*$D$7+$E$15*$D$8-INT($B$15/$D$11)*Материал!$D$10,$D$9)</f>
        <v>4500</v>
      </c>
      <c r="C22" s="19">
        <f>MAX($B$16*Материал!$D$10+MAX(0,$C$16-$D$10)*$D$6+$D$16*$D$7+$E$16*$D$8-INT($B$16/$D$11)*Материал!$D$10,$D$9)</f>
        <v>5430</v>
      </c>
      <c r="D22" s="19">
        <f>MAX($B$17*Материал!$D$10+MAX(0,$C$17-$D$10)*$D$6+$D$17*$D$7+$E$17*$D$8-INT($B$17/$D$11)*Материал!$D$10,$D$9)</f>
        <v>8070</v>
      </c>
      <c r="E22" s="19">
        <f>MAX($B$18*Материал!$D$10+MAX(0,$C$18-$D$10)*$D$6+$D$18*$D$7+$E$18*$D$8-INT($B$18/$D$11)*Материал!$D$10,$D$9)</f>
        <v>9000</v>
      </c>
    </row>
    <row r="23" spans="1:5" x14ac:dyDescent="0.25">
      <c r="A23" s="18" t="str">
        <f>Материал!A11</f>
        <v>Глянцевое</v>
      </c>
      <c r="B23" s="19">
        <f>MAX($B$15*Материал!$D$11+MAX(0,$C$15-$D$10)*$D$6+$D$15*$D$7+$E$15*$D$8-INT($B$15/$D$11)*Материал!$D$11,$D$9)</f>
        <v>4500</v>
      </c>
      <c r="C23" s="19">
        <f>MAX($B$16*Материал!$D$11+MAX(0,$C$16-$D$10)*$D$6+$D$16*$D$7+$E$16*$D$8-INT($B$16/$D$11)*Материал!$D$11,$D$9)</f>
        <v>5430</v>
      </c>
      <c r="D23" s="19">
        <f>MAX($B$17*Материал!$D$11+MAX(0,$C$17-$D$10)*$D$6+$D$17*$D$7+$E$17*$D$8-INT($B$17/$D$11)*Материал!$D$11,$D$9)</f>
        <v>8070</v>
      </c>
      <c r="E23" s="19">
        <f>MAX($B$18*Материал!$D$11+MAX(0,$C$18-$D$10)*$D$6+$D$18*$D$7+$E$18*$D$8-INT($B$18/$D$11)*Материал!$D$11,$D$9)</f>
        <v>9000</v>
      </c>
    </row>
    <row r="24" spans="1:5" x14ac:dyDescent="0.25">
      <c r="A24" s="18" t="str">
        <f>Материал!A12</f>
        <v>Сатиновое</v>
      </c>
      <c r="B24" s="19">
        <f>MAX($B$15*Материал!$D$12+MAX(0,$C$15-$D$10)*$D$6+$D$15*$D$7+$E$15*$D$8-INT($B$15/$D$11)*Материал!$D$12,$D$9)</f>
        <v>4510</v>
      </c>
      <c r="C24" s="19">
        <f>MAX($B$16*Материал!$D$12+MAX(0,$C$16-$D$10)*$D$6+$D$16*$D$7+$E$16*$D$8-INT($B$16/$D$11)*Материал!$D$12,$D$9)</f>
        <v>6620</v>
      </c>
      <c r="D24" s="19">
        <f>MAX($B$17*Материал!$D$12+MAX(0,$C$17-$D$10)*$D$6+$D$17*$D$7+$E$17*$D$8-INT($B$17/$D$11)*Материал!$D$12,$D$9)</f>
        <v>9680</v>
      </c>
      <c r="E24" s="19">
        <f>MAX($B$18*Материал!$D$12+MAX(0,$C$18-$D$10)*$D$6+$D$18*$D$7+$E$18*$D$8-INT($B$18/$D$11)*Материал!$D$12,$D$9)</f>
        <v>11100</v>
      </c>
    </row>
    <row r="25" spans="1:5" x14ac:dyDescent="0.25">
      <c r="A25" s="18" t="str">
        <f>Материал!A13</f>
        <v>Тканевое бесшовное</v>
      </c>
      <c r="B25" s="19">
        <f>MAX($B$15*Материал!$D$13+MAX(0,$C$15-$D$10)*$D$6+$D$15*$D$7+$E$15*$D$8-INT($B$15/$D$11)*Материал!$D$13,$D$9)</f>
        <v>9240</v>
      </c>
      <c r="C25" s="19">
        <f>MAX($B$16*Материал!$D$13+MAX(0,$C$16-$D$10)*$D$6+$D$16*$D$7+$E$16*$D$8-INT($B$16/$D$11)*Материал!$D$13,$D$9)</f>
        <v>13930</v>
      </c>
      <c r="D25" s="19">
        <f>MAX($B$17*Материал!$D$13+MAX(0,$C$17-$D$10)*$D$6+$D$17*$D$7+$E$17*$D$8-INT($B$17/$D$11)*Материал!$D$13,$D$9)</f>
        <v>19570</v>
      </c>
      <c r="E25" s="19">
        <f>MAX($B$18*Материал!$D$13+MAX(0,$C$18-$D$10)*$D$6+$D$18*$D$7+$E$18*$D$8-INT($B$18/$D$11)*Материал!$D$13,$D$9)</f>
        <v>24000</v>
      </c>
    </row>
    <row r="26" spans="1:5" x14ac:dyDescent="0.25">
      <c r="A26" s="18" t="str">
        <f>Материал!A14</f>
        <v>С фотопечатью</v>
      </c>
      <c r="B26" s="19">
        <f>MAX($B$15*Материал!$D$14+MAX(0,$C$15-$D$10)*$D$6+$D$15*$D$7+$E$15*$D$8-INT($B$15/$D$11)*Материал!$D$14,$D$9)</f>
        <v>14850</v>
      </c>
      <c r="C26" s="19">
        <f>MAX($B$16*Материал!$D$14+MAX(0,$C$16-$D$10)*$D$6+$D$16*$D$7+$E$16*$D$8-INT($B$16/$D$11)*Материал!$D$14,$D$9)</f>
        <v>22600</v>
      </c>
      <c r="D26" s="19">
        <f>MAX($B$17*Материал!$D$14+MAX(0,$C$17-$D$10)*$D$6+$D$17*$D$7+$E$17*$D$8-INT($B$17/$D$11)*Материал!$D$14,$D$9)</f>
        <v>31300</v>
      </c>
      <c r="E26" s="19">
        <f>MAX($B$18*Материал!$D$14+MAX(0,$C$18-$D$10)*$D$6+$D$18*$D$7+$E$18*$D$8-INT($B$18/$D$11)*Материал!$D$14,$D$9)</f>
        <v>39300</v>
      </c>
    </row>
    <row r="27" spans="1:5" x14ac:dyDescent="0.25">
      <c r="A27" s="18" t="str">
        <f>Материал!A15</f>
        <v>Звёздное небо</v>
      </c>
      <c r="B27" s="19">
        <f>MAX($B$15*Материал!$D$15+MAX(0,$C$15-$D$10)*$D$6+$D$15*$D$7+$E$15*$D$8-INT($B$15/$D$11)*Материал!$D$15,$D$9)</f>
        <v>18150</v>
      </c>
      <c r="C27" s="19">
        <f>MAX($B$16*Материал!$D$15+MAX(0,$C$16-$D$10)*$D$6+$D$16*$D$7+$E$16*$D$8-INT($B$16/$D$11)*Материал!$D$15,$D$9)</f>
        <v>27700</v>
      </c>
      <c r="D27" s="19">
        <f>MAX($B$17*Материал!$D$15+MAX(0,$C$17-$D$10)*$D$6+$D$17*$D$7+$E$17*$D$8-INT($B$17/$D$11)*Материал!$D$15,$D$9)</f>
        <v>38200</v>
      </c>
      <c r="E27" s="19">
        <f>MAX($B$18*Материал!$D$15+MAX(0,$C$18-$D$10)*$D$6+$D$18*$D$7+$E$18*$D$8-INT($B$18/$D$11)*Материал!$D$15,$D$9)</f>
        <v>48300</v>
      </c>
    </row>
    <row r="29" spans="1:5" x14ac:dyDescent="0.25">
      <c r="A29" s="2" t="s">
        <v>50</v>
      </c>
    </row>
    <row r="30" spans="1:5" x14ac:dyDescent="0.25">
      <c r="A30" s="25" t="s">
        <v>51</v>
      </c>
      <c r="B30" s="21"/>
      <c r="C30" s="21"/>
      <c r="D30" s="21"/>
      <c r="E30" s="21"/>
    </row>
    <row r="31" spans="1:5" x14ac:dyDescent="0.25">
      <c r="A31" s="25" t="s">
        <v>52</v>
      </c>
      <c r="B31" s="21"/>
      <c r="C31" s="21"/>
      <c r="D31" s="21"/>
      <c r="E31" s="21"/>
    </row>
    <row r="32" spans="1:5" x14ac:dyDescent="0.25">
      <c r="A32" s="25" t="s">
        <v>53</v>
      </c>
      <c r="B32" s="21"/>
      <c r="C32" s="21"/>
      <c r="D32" s="21"/>
      <c r="E32" s="21"/>
    </row>
    <row r="33" spans="1:5" x14ac:dyDescent="0.25">
      <c r="A33" s="25" t="s">
        <v>54</v>
      </c>
      <c r="B33" s="21"/>
      <c r="C33" s="21"/>
      <c r="D33" s="21"/>
      <c r="E33" s="21"/>
    </row>
    <row r="34" spans="1:5" x14ac:dyDescent="0.25">
      <c r="A34" s="25" t="s">
        <v>55</v>
      </c>
      <c r="B34" s="21"/>
      <c r="C34" s="21"/>
      <c r="D34" s="21"/>
      <c r="E34" s="21"/>
    </row>
    <row r="35" spans="1:5" x14ac:dyDescent="0.25">
      <c r="A35" s="25" t="s">
        <v>56</v>
      </c>
      <c r="B35" s="21"/>
      <c r="C35" s="21"/>
      <c r="D35" s="21"/>
      <c r="E35" s="21"/>
    </row>
    <row r="37" spans="1:5" x14ac:dyDescent="0.25">
      <c r="A37" s="25" t="s">
        <v>57</v>
      </c>
      <c r="B37" s="21"/>
      <c r="C37" s="21"/>
      <c r="D37" s="21"/>
      <c r="E37" s="21"/>
    </row>
    <row r="39" spans="1:5" x14ac:dyDescent="0.25">
      <c r="A39" s="25" t="s">
        <v>58</v>
      </c>
      <c r="B39" s="21"/>
      <c r="C39" s="21"/>
      <c r="D39" s="21"/>
      <c r="E39" s="21"/>
    </row>
    <row r="41" spans="1:5" x14ac:dyDescent="0.25">
      <c r="A41" s="2" t="s">
        <v>59</v>
      </c>
    </row>
    <row r="42" spans="1:5" x14ac:dyDescent="0.25">
      <c r="A42" s="16" t="s">
        <v>60</v>
      </c>
      <c r="B42" s="25" t="s">
        <v>61</v>
      </c>
      <c r="C42" s="21"/>
      <c r="D42" s="21"/>
      <c r="E42" s="21"/>
    </row>
    <row r="43" spans="1:5" x14ac:dyDescent="0.25">
      <c r="A43" s="8" t="s">
        <v>62</v>
      </c>
      <c r="B43" s="25" t="s">
        <v>63</v>
      </c>
      <c r="C43" s="21"/>
      <c r="D43" s="21"/>
      <c r="E43" s="21"/>
    </row>
    <row r="44" spans="1:5" x14ac:dyDescent="0.25">
      <c r="A44" s="18" t="s">
        <v>64</v>
      </c>
      <c r="B44" s="25" t="s">
        <v>65</v>
      </c>
      <c r="C44" s="21"/>
      <c r="D44" s="21"/>
      <c r="E44" s="21"/>
    </row>
  </sheetData>
  <mergeCells count="16">
    <mergeCell ref="B43:E43"/>
    <mergeCell ref="A4:D4"/>
    <mergeCell ref="A1:F1"/>
    <mergeCell ref="B44:E44"/>
    <mergeCell ref="A33:E33"/>
    <mergeCell ref="A37:E37"/>
    <mergeCell ref="A32:E32"/>
    <mergeCell ref="A13:E13"/>
    <mergeCell ref="A31:E31"/>
    <mergeCell ref="B42:E42"/>
    <mergeCell ref="A30:E30"/>
    <mergeCell ref="A2:F2"/>
    <mergeCell ref="A34:E34"/>
    <mergeCell ref="A35:E35"/>
    <mergeCell ref="A39:E39"/>
    <mergeCell ref="A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Материал</vt:lpstr>
      <vt:lpstr>Расчёт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Whispromptsupport w</cp:lastModifiedBy>
  <dcterms:created xsi:type="dcterms:W3CDTF">2026-07-30T10:44:21Z</dcterms:created>
  <dcterms:modified xsi:type="dcterms:W3CDTF">2026-07-30T10:44:23Z</dcterms:modified>
</cp:coreProperties>
</file>